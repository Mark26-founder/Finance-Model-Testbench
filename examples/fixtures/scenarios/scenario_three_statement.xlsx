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Growth Rate</t>
        </is>
      </c>
      <c r="B2" s="1" t="n">
        <v>0.05</v>
      </c>
    </row>
    <row r="3">
      <c r="A3" t="inlineStr">
        <is>
          <t>Operating Margin</t>
        </is>
      </c>
      <c r="B3" s="1" t="n">
        <v>0.2</v>
      </c>
    </row>
    <row r="4">
      <c r="A4" t="inlineStr">
        <is>
          <t>Tax Rate</t>
        </is>
      </c>
      <c r="B4" s="1" t="n">
        <v>0.25</v>
      </c>
    </row>
    <row r="5">
      <c r="A5" t="inlineStr">
        <is>
          <t>Interest Rate</t>
        </is>
      </c>
      <c r="B5" s="1" t="n">
        <v>0.05</v>
      </c>
    </row>
    <row r="6">
      <c r="A6" t="inlineStr">
        <is>
          <t>Capex (% of Rev)</t>
        </is>
      </c>
      <c r="B6" s="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Revenue</t>
        </is>
      </c>
      <c r="B2" t="n">
        <v>1000</v>
      </c>
      <c r="C2">
        <f>B2*(1+Assumptions!B2)</f>
        <v/>
      </c>
    </row>
    <row r="3">
      <c r="A3" t="inlineStr">
        <is>
          <t>Operating Expenses</t>
        </is>
      </c>
      <c r="B3" t="n">
        <v>800</v>
      </c>
      <c r="C3">
        <f>C2*(1-Assumptions!B3)</f>
        <v/>
      </c>
    </row>
    <row r="4">
      <c r="A4" t="inlineStr">
        <is>
          <t>EBITDA</t>
        </is>
      </c>
      <c r="B4">
        <f>B2-B3</f>
        <v/>
      </c>
      <c r="C4">
        <f>C2-C3</f>
        <v/>
      </c>
    </row>
    <row r="5">
      <c r="A5" t="inlineStr">
        <is>
          <t>Depreciation</t>
        </is>
      </c>
      <c r="B5" t="n">
        <v>50</v>
      </c>
      <c r="C5" t="n">
        <v>50</v>
      </c>
    </row>
    <row r="6">
      <c r="A6" t="inlineStr">
        <is>
          <t>EBIT</t>
        </is>
      </c>
      <c r="B6">
        <f>B4-B5</f>
        <v/>
      </c>
      <c r="C6">
        <f>C4-C5</f>
        <v/>
      </c>
    </row>
    <row r="7">
      <c r="A7" t="inlineStr">
        <is>
          <t>Interest Expense</t>
        </is>
      </c>
      <c r="B7" t="n">
        <v>10</v>
      </c>
      <c r="C7">
        <f>'Balance Sheet'!C7*Assumptions!B5</f>
        <v/>
      </c>
    </row>
    <row r="8">
      <c r="A8" t="inlineStr">
        <is>
          <t>EBT</t>
        </is>
      </c>
      <c r="B8">
        <f>B6-B7</f>
        <v/>
      </c>
      <c r="C8">
        <f>C6-C7</f>
        <v/>
      </c>
    </row>
    <row r="9">
      <c r="A9" t="inlineStr">
        <is>
          <t>Tax Expense</t>
        </is>
      </c>
      <c r="B9">
        <f>B8*Assumptions!B4</f>
        <v/>
      </c>
      <c r="C9">
        <f>C8*Assumptions!B4</f>
        <v/>
      </c>
    </row>
    <row r="10">
      <c r="A10" t="inlineStr">
        <is>
          <t>Net Income</t>
        </is>
      </c>
      <c r="B10">
        <f>B8-B9</f>
        <v/>
      </c>
      <c r="C10">
        <f>C8-C9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2023 (Prior)</t>
        </is>
      </c>
      <c r="C1" t="inlineStr">
        <is>
          <t>2024 (Current)</t>
        </is>
      </c>
    </row>
    <row r="2">
      <c r="A2" t="inlineStr">
        <is>
          <t>Cash</t>
        </is>
      </c>
      <c r="B2" t="n">
        <v>300</v>
      </c>
      <c r="C2">
        <f>'Cash Flow Statement'!B12</f>
        <v/>
      </c>
    </row>
    <row r="3">
      <c r="A3" t="inlineStr">
        <is>
          <t>Accounts Receivable</t>
        </is>
      </c>
      <c r="B3" t="n">
        <v>100</v>
      </c>
      <c r="C3" t="n">
        <v>100</v>
      </c>
    </row>
    <row r="4">
      <c r="A4" t="inlineStr">
        <is>
          <t>Property, Plant &amp; Equipment (Net)</t>
        </is>
      </c>
      <c r="B4" t="n">
        <v>500</v>
      </c>
      <c r="C4">
        <f>B4-'Cash Flow Statement'!B6-'Income Statement'!C5</f>
        <v/>
      </c>
    </row>
    <row r="5">
      <c r="A5" t="inlineStr">
        <is>
          <t>Total Assets</t>
        </is>
      </c>
      <c r="B5">
        <f>SUM(B2:B4)</f>
        <v/>
      </c>
      <c r="C5">
        <f>SUM(C2:C4)</f>
        <v/>
      </c>
    </row>
    <row r="6">
      <c r="A6" t="inlineStr">
        <is>
          <t>Accounts Payable</t>
        </is>
      </c>
      <c r="B6" t="n">
        <v>100</v>
      </c>
      <c r="C6" t="n">
        <v>100</v>
      </c>
    </row>
    <row r="7">
      <c r="A7" t="inlineStr">
        <is>
          <t>Long-Term Debt</t>
        </is>
      </c>
      <c r="B7" t="n">
        <v>200</v>
      </c>
      <c r="C7" t="n">
        <v>200</v>
      </c>
    </row>
    <row r="8">
      <c r="A8" t="inlineStr">
        <is>
          <t>Total Liabilities</t>
        </is>
      </c>
      <c r="B8">
        <f>SUM(B6:B7)</f>
        <v/>
      </c>
      <c r="C8">
        <f>SUM(C6:C7)</f>
        <v/>
      </c>
    </row>
    <row r="9">
      <c r="A9" t="inlineStr">
        <is>
          <t>Common Stock</t>
        </is>
      </c>
      <c r="B9" t="n">
        <v>300</v>
      </c>
      <c r="C9" t="n">
        <v>300</v>
      </c>
    </row>
    <row r="10">
      <c r="A10" t="inlineStr">
        <is>
          <t>Retained Earnings</t>
        </is>
      </c>
      <c r="B10" t="n">
        <v>300</v>
      </c>
      <c r="C10">
        <f>B10+'Income Statement'!C10</f>
        <v/>
      </c>
    </row>
    <row r="11">
      <c r="A11" t="inlineStr">
        <is>
          <t>Total Equity</t>
        </is>
      </c>
      <c r="B11">
        <f>SUM(B9:B10)</f>
        <v/>
      </c>
      <c r="C11">
        <f>SUM(C9:C10)</f>
        <v/>
      </c>
    </row>
    <row r="12">
      <c r="A12" t="inlineStr">
        <is>
          <t>Total Liabilities &amp; Equity</t>
        </is>
      </c>
      <c r="B12">
        <f>B8+B11</f>
        <v/>
      </c>
      <c r="C12">
        <f>C8+C11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(Current)</t>
        </is>
      </c>
    </row>
    <row r="2">
      <c r="A2" t="inlineStr">
        <is>
          <t>Net Income</t>
        </is>
      </c>
      <c r="B2">
        <f>'Income Statement'!C10</f>
        <v/>
      </c>
    </row>
    <row r="3">
      <c r="A3" t="inlineStr">
        <is>
          <t>Depreciation &amp; Amortization</t>
        </is>
      </c>
      <c r="B3">
        <f>'Income Statement'!C5</f>
        <v/>
      </c>
    </row>
    <row r="4">
      <c r="A4" t="inlineStr">
        <is>
          <t>Change in Working Capital</t>
        </is>
      </c>
      <c r="B4" t="n">
        <v>0</v>
      </c>
    </row>
    <row r="5">
      <c r="A5" t="inlineStr">
        <is>
          <t>Cash Flow from Operations</t>
        </is>
      </c>
      <c r="B5">
        <f>SUM(B2:B4)</f>
        <v/>
      </c>
    </row>
    <row r="6">
      <c r="A6" t="inlineStr">
        <is>
          <t>Capital Expenditures</t>
        </is>
      </c>
      <c r="B6">
        <f>-'Income Statement'!C2*Assumptions!B6</f>
        <v/>
      </c>
    </row>
    <row r="7">
      <c r="A7" t="inlineStr">
        <is>
          <t>Cash Flow from Investing</t>
        </is>
      </c>
      <c r="B7">
        <f>B6</f>
        <v/>
      </c>
    </row>
    <row r="8">
      <c r="A8" t="inlineStr">
        <is>
          <t>Debt Repayment / Issuance</t>
        </is>
      </c>
      <c r="B8" t="n">
        <v>0</v>
      </c>
    </row>
    <row r="9">
      <c r="A9" t="inlineStr">
        <is>
          <t>Cash Flow from Financing</t>
        </is>
      </c>
      <c r="B9">
        <f>B8</f>
        <v/>
      </c>
    </row>
    <row r="10">
      <c r="A10" t="inlineStr">
        <is>
          <t>Net Change in Cash</t>
        </is>
      </c>
      <c r="B10">
        <f>B5+B7+B9</f>
        <v/>
      </c>
    </row>
    <row r="11">
      <c r="A11" t="inlineStr">
        <is>
          <t>Beginning Cash</t>
        </is>
      </c>
      <c r="B11">
        <f>'Balance Sheet'!B2</f>
        <v/>
      </c>
    </row>
    <row r="12">
      <c r="A12" t="inlineStr">
        <is>
          <t>Ending Cash</t>
        </is>
      </c>
      <c r="B12">
        <f>B11+B10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2026-10-04T12:57:56Z</dcterms:created>
  <dcterms:modified xsi:type="dcterms:W3CDTF">2026-10-04T12:57:56Z</dcterms:modified>
</cp:coreProperties>
</file>